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SCIENCE[INDSAID]\DS\Excel for Data Analytics\aCOURSE\"/>
    </mc:Choice>
  </mc:AlternateContent>
  <xr:revisionPtr revIDLastSave="0" documentId="13_ncr:1_{9F417415-29BC-4A77-AC26-63B97FF8D8A8}" xr6:coauthVersionLast="47" xr6:coauthVersionMax="47" xr10:uidLastSave="{00000000-0000-0000-0000-000000000000}"/>
  <bookViews>
    <workbookView xWindow="-108" yWindow="-108" windowWidth="23256" windowHeight="12456" activeTab="2" xr2:uid="{0999F8B6-6F42-40DE-975B-4CD12D90701F}"/>
  </bookViews>
  <sheets>
    <sheet name="Sales Tracker" sheetId="1" r:id="rId1"/>
    <sheet name="Summary" sheetId="3" r:id="rId2"/>
    <sheet name="Data for you type and test" sheetId="4" r:id="rId3"/>
    <sheet name="Homework problems" sheetId="5" r:id="rId4"/>
  </sheets>
  <definedNames>
    <definedName name="_xlnm._FilterDatabase" localSheetId="2" hidden="1">'Data for you type and test'!$B$3:$G$26</definedName>
    <definedName name="_xlnm._FilterDatabase" localSheetId="0" hidden="1">'Sales Tracker'!$B$5:$G$28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4" l="1"/>
  <c r="I8" i="4"/>
  <c r="I5" i="4"/>
  <c r="I4" i="4"/>
  <c r="C8" i="3"/>
  <c r="C7" i="3"/>
  <c r="C5" i="3"/>
  <c r="C4" i="3"/>
</calcChain>
</file>

<file path=xl/sharedStrings.xml><?xml version="1.0" encoding="utf-8"?>
<sst xmlns="http://schemas.openxmlformats.org/spreadsheetml/2006/main" count="166" uniqueCount="70">
  <si>
    <t>Tanvi's Chocolate Sales Tracker</t>
  </si>
  <si>
    <t>Date</t>
  </si>
  <si>
    <t>Name</t>
  </si>
  <si>
    <t>Email</t>
  </si>
  <si>
    <t>Boxes Sold</t>
  </si>
  <si>
    <t>Amount</t>
  </si>
  <si>
    <t>Payment Mode</t>
  </si>
  <si>
    <t>Vallabh Nagaswamy</t>
  </si>
  <si>
    <t>nagaswamy.va@gmail.com</t>
  </si>
  <si>
    <t>cash</t>
  </si>
  <si>
    <t>Mahin Rajaram</t>
  </si>
  <si>
    <t>rajaram.m1975@gmail.com</t>
  </si>
  <si>
    <t>Omprakash Navya</t>
  </si>
  <si>
    <t>navya.o1995@gmail.com</t>
  </si>
  <si>
    <t>Shashishekhar Chakrabarti</t>
  </si>
  <si>
    <t>chakrabarti.sh@gmail.com</t>
  </si>
  <si>
    <t>Nityanand Nehru</t>
  </si>
  <si>
    <t>nehru.n1985@gmail.com</t>
  </si>
  <si>
    <t>Raghuvir Veeramany</t>
  </si>
  <si>
    <t>veeramany.r1996@gmail.com</t>
  </si>
  <si>
    <t>Anbumadi Tummala</t>
  </si>
  <si>
    <t>tummala.an@gmail.com</t>
  </si>
  <si>
    <t>Dindayal Mallika</t>
  </si>
  <si>
    <t>mallika.di@gmail.com</t>
  </si>
  <si>
    <t>Sankalpa Chinmay</t>
  </si>
  <si>
    <t>chinmay.s1995@gmail.com</t>
  </si>
  <si>
    <t>Divyesh Sethi</t>
  </si>
  <si>
    <t>sethi.d1984@gmail.com</t>
  </si>
  <si>
    <t>Bibhavasu Sathyanarayana</t>
  </si>
  <si>
    <t>sathyanarayana.bi@gmail.com</t>
  </si>
  <si>
    <t>Kashiprasad Mahajan</t>
  </si>
  <si>
    <t>mahajan.ka@gmail.com</t>
  </si>
  <si>
    <t>Siddhanta Rima</t>
  </si>
  <si>
    <t>rima.si@gmail.com</t>
  </si>
  <si>
    <t>Devadutt Naimish</t>
  </si>
  <si>
    <t>naimish.de@gmail.com</t>
  </si>
  <si>
    <t>Snehin Sathiamoorthy</t>
  </si>
  <si>
    <t>sathiamoorthy.s1999@gmail.com</t>
  </si>
  <si>
    <t>Shishupal Vishaal</t>
  </si>
  <si>
    <t>vishaal.sh@gmail.com</t>
  </si>
  <si>
    <t>Krishna Sreenivasa</t>
  </si>
  <si>
    <t>sreenivasa.kr@gmail.com</t>
  </si>
  <si>
    <t>Adikavi Dibyendu</t>
  </si>
  <si>
    <t>dibyendu.ad@gmail.com</t>
  </si>
  <si>
    <t>Shaan Niveda</t>
  </si>
  <si>
    <t>niveda.sh@gmail.com</t>
  </si>
  <si>
    <t>Chhandak Prajna</t>
  </si>
  <si>
    <t>prajna.ch@gmail.com</t>
  </si>
  <si>
    <t>Arav Neela</t>
  </si>
  <si>
    <t>neela.ar@gmail.com</t>
  </si>
  <si>
    <t>card</t>
  </si>
  <si>
    <t>phone</t>
  </si>
  <si>
    <t>Shakunt Ranadhir</t>
  </si>
  <si>
    <t>ranadhir.s2000@gmail.com</t>
  </si>
  <si>
    <t>Total Boxes</t>
  </si>
  <si>
    <t>Total Amount</t>
  </si>
  <si>
    <t>Viswanath Ranganathan</t>
  </si>
  <si>
    <t>ranganathan.vi@gmail.com</t>
  </si>
  <si>
    <t>Average Boxes</t>
  </si>
  <si>
    <t>Average Amount</t>
  </si>
  <si>
    <t>Homework problems</t>
  </si>
  <si>
    <t>Calculate totals by each date - for amount &amp; box columns</t>
  </si>
  <si>
    <t>Sort the data by Date &amp; Amount (two level sorting)</t>
  </si>
  <si>
    <t>Add amount per box column to the table that is automatically calculated</t>
  </si>
  <si>
    <t>Free beginner to pro data analysis course (45 min video)</t>
  </si>
  <si>
    <t>Excel basics (article)</t>
  </si>
  <si>
    <t>Advanced Excel skills (article)</t>
  </si>
  <si>
    <t>My online course on Microsoft Excel (paid program)</t>
  </si>
  <si>
    <t>How to use Pivot Tables (10 min video)</t>
  </si>
  <si>
    <r>
      <t xml:space="preserve">Want to learn more? </t>
    </r>
    <r>
      <rPr>
        <sz val="14"/>
        <color theme="1"/>
        <rFont val="Calibri"/>
        <family val="2"/>
        <scheme val="minor"/>
      </rPr>
      <t>(click on these links)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</si>
</sst>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009]\ #,##0"/>
    <numFmt numFmtId="165" formatCode="0.0"/>
    <numFmt numFmtId="170" formatCode="&quot;₹&quot;\ #,##0.00"/>
    <numFmt numFmtId="173" formatCode="0.000"/>
  </numFmts>
  <fonts count="6" x14ac:knownFonts="1"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15" fontId="0" fillId="0" borderId="0" xfId="0" applyNumberFormat="1" applyAlignment="1">
      <alignment horizontal="left"/>
    </xf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1"/>
    <xf numFmtId="0" fontId="4" fillId="0" borderId="0" xfId="1" applyFont="1"/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0" fillId="0" borderId="6" xfId="0" applyBorder="1"/>
    <xf numFmtId="170" fontId="0" fillId="0" borderId="0" xfId="0" applyNumberFormat="1" applyBorder="1"/>
    <xf numFmtId="0" fontId="0" fillId="0" borderId="7" xfId="0" applyBorder="1"/>
    <xf numFmtId="15" fontId="0" fillId="0" borderId="4" xfId="0" applyNumberFormat="1" applyBorder="1"/>
    <xf numFmtId="0" fontId="0" fillId="0" borderId="8" xfId="0" applyBorder="1"/>
    <xf numFmtId="15" fontId="0" fillId="0" borderId="5" xfId="0" applyNumberFormat="1" applyBorder="1"/>
    <xf numFmtId="0" fontId="0" fillId="0" borderId="9" xfId="0" applyBorder="1"/>
    <xf numFmtId="165" fontId="0" fillId="0" borderId="0" xfId="0" applyNumberFormat="1"/>
    <xf numFmtId="173" fontId="0" fillId="0" borderId="0" xfId="0" applyNumberFormat="1"/>
    <xf numFmtId="170" fontId="0" fillId="0" borderId="1" xfId="0" applyNumberFormat="1" applyBorder="1"/>
    <xf numFmtId="170" fontId="0" fillId="0" borderId="2" xfId="0" applyNumberFormat="1" applyBorder="1"/>
    <xf numFmtId="170" fontId="0" fillId="0" borderId="1" xfId="2" applyNumberFormat="1" applyFont="1" applyBorder="1"/>
    <xf numFmtId="170" fontId="0" fillId="0" borderId="3" xfId="0" applyNumberFormat="1" applyBorder="1"/>
  </cellXfs>
  <cellStyles count="3">
    <cellStyle name="Hyperlink" xfId="1" builtinId="8"/>
    <cellStyle name="Normal" xfId="0" builtinId="0"/>
    <cellStyle name="Percent" xfId="2" builtinId="5"/>
  </cellStyles>
  <dxfs count="14">
    <dxf>
      <font>
        <color rgb="FF9C0006"/>
      </font>
    </dxf>
    <dxf>
      <numFmt numFmtId="170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₹-4009]\ #,##0"/>
    </dxf>
    <dxf>
      <numFmt numFmtId="166" formatCode="d\-mmm\-yy"/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Tracker'!$F$5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'Sales Tracker'!$C$6:$C$28</c:f>
              <c:strCache>
                <c:ptCount val="23"/>
                <c:pt idx="0">
                  <c:v>Vallabh Nagaswamy</c:v>
                </c:pt>
                <c:pt idx="1">
                  <c:v>Bibhavasu Sathyanarayana</c:v>
                </c:pt>
                <c:pt idx="2">
                  <c:v>Omprakash Navya</c:v>
                </c:pt>
                <c:pt idx="3">
                  <c:v>Viswanath Ranganathan</c:v>
                </c:pt>
                <c:pt idx="4">
                  <c:v>Mahin Rajaram</c:v>
                </c:pt>
                <c:pt idx="5">
                  <c:v>Arav Neela</c:v>
                </c:pt>
                <c:pt idx="6">
                  <c:v>Chhandak Prajna</c:v>
                </c:pt>
                <c:pt idx="7">
                  <c:v>Divyesh Sethi</c:v>
                </c:pt>
                <c:pt idx="8">
                  <c:v>Shaan Niveda</c:v>
                </c:pt>
                <c:pt idx="9">
                  <c:v>Krishna Sreenivasa</c:v>
                </c:pt>
                <c:pt idx="10">
                  <c:v>Shashishekhar Chakrabarti</c:v>
                </c:pt>
                <c:pt idx="11">
                  <c:v>Snehin Sathiamoorthy</c:v>
                </c:pt>
                <c:pt idx="12">
                  <c:v>Nityanand Nehru</c:v>
                </c:pt>
                <c:pt idx="13">
                  <c:v>Shakunt Ranadhir</c:v>
                </c:pt>
                <c:pt idx="14">
                  <c:v>Adikavi Dibyendu</c:v>
                </c:pt>
                <c:pt idx="15">
                  <c:v>Sankalpa Chinmay</c:v>
                </c:pt>
                <c:pt idx="16">
                  <c:v>Dindayal Mallika</c:v>
                </c:pt>
                <c:pt idx="17">
                  <c:v>Devadutt Naimish</c:v>
                </c:pt>
                <c:pt idx="18">
                  <c:v>Raghuvir Veeramany</c:v>
                </c:pt>
                <c:pt idx="19">
                  <c:v>Kashiprasad Mahajan</c:v>
                </c:pt>
                <c:pt idx="20">
                  <c:v>Siddhanta Rima</c:v>
                </c:pt>
                <c:pt idx="21">
                  <c:v>Shishupal Vishaal</c:v>
                </c:pt>
                <c:pt idx="22">
                  <c:v>Anbumadi Tummala</c:v>
                </c:pt>
              </c:strCache>
            </c:strRef>
          </c:cat>
          <c:val>
            <c:numRef>
              <c:f>'Sales Tracker'!$F$6:$F$28</c:f>
              <c:numCache>
                <c:formatCode>[$₹-4009]\ #,##0</c:formatCode>
                <c:ptCount val="23"/>
                <c:pt idx="0">
                  <c:v>900</c:v>
                </c:pt>
                <c:pt idx="1">
                  <c:v>900</c:v>
                </c:pt>
                <c:pt idx="2">
                  <c:v>902</c:v>
                </c:pt>
                <c:pt idx="3">
                  <c:v>1010</c:v>
                </c:pt>
                <c:pt idx="4">
                  <c:v>1012</c:v>
                </c:pt>
                <c:pt idx="5">
                  <c:v>1056</c:v>
                </c:pt>
                <c:pt idx="6">
                  <c:v>1200</c:v>
                </c:pt>
                <c:pt idx="7">
                  <c:v>1247</c:v>
                </c:pt>
                <c:pt idx="8">
                  <c:v>1260</c:v>
                </c:pt>
                <c:pt idx="9">
                  <c:v>1260</c:v>
                </c:pt>
                <c:pt idx="10">
                  <c:v>1369</c:v>
                </c:pt>
                <c:pt idx="11">
                  <c:v>1404</c:v>
                </c:pt>
                <c:pt idx="12">
                  <c:v>1482</c:v>
                </c:pt>
                <c:pt idx="13">
                  <c:v>1500</c:v>
                </c:pt>
                <c:pt idx="14">
                  <c:v>1505</c:v>
                </c:pt>
                <c:pt idx="15">
                  <c:v>1560</c:v>
                </c:pt>
                <c:pt idx="16">
                  <c:v>1591</c:v>
                </c:pt>
                <c:pt idx="17">
                  <c:v>1755</c:v>
                </c:pt>
                <c:pt idx="18">
                  <c:v>1804</c:v>
                </c:pt>
                <c:pt idx="19">
                  <c:v>1890</c:v>
                </c:pt>
                <c:pt idx="20">
                  <c:v>2000</c:v>
                </c:pt>
                <c:pt idx="21">
                  <c:v>2262</c:v>
                </c:pt>
                <c:pt idx="22">
                  <c:v>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0-474E-A640-4B530F15A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86094560"/>
        <c:axId val="1254701968"/>
      </c:barChart>
      <c:catAx>
        <c:axId val="386094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701968"/>
        <c:crosses val="autoZero"/>
        <c:auto val="1"/>
        <c:lblAlgn val="ctr"/>
        <c:lblOffset val="100"/>
        <c:noMultiLvlLbl val="0"/>
      </c:catAx>
      <c:valAx>
        <c:axId val="125470196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9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 for you type and test'!$C$4:$C$26</c:f>
              <c:strCache>
                <c:ptCount val="23"/>
                <c:pt idx="0">
                  <c:v>Mahin Rajaram</c:v>
                </c:pt>
                <c:pt idx="1">
                  <c:v>Omprakash Navya</c:v>
                </c:pt>
                <c:pt idx="2">
                  <c:v>Vallabh Nagaswamy</c:v>
                </c:pt>
                <c:pt idx="3">
                  <c:v>Raghuvir Veeramany</c:v>
                </c:pt>
                <c:pt idx="4">
                  <c:v>Nityanand Nehru</c:v>
                </c:pt>
                <c:pt idx="5">
                  <c:v>Shashishekhar Chakrabarti</c:v>
                </c:pt>
                <c:pt idx="6">
                  <c:v>Anbumadi Tummala</c:v>
                </c:pt>
                <c:pt idx="7">
                  <c:v>Dindayal Mallika</c:v>
                </c:pt>
                <c:pt idx="8">
                  <c:v>Sankalpa Chinmay</c:v>
                </c:pt>
                <c:pt idx="9">
                  <c:v>Chhandak Prajna</c:v>
                </c:pt>
                <c:pt idx="10">
                  <c:v>Divyesh Sethi</c:v>
                </c:pt>
                <c:pt idx="11">
                  <c:v>Bibhavasu Sathyanarayana</c:v>
                </c:pt>
                <c:pt idx="12">
                  <c:v>Siddhanta Rima</c:v>
                </c:pt>
                <c:pt idx="13">
                  <c:v>Kashiprasad Mahajan</c:v>
                </c:pt>
                <c:pt idx="14">
                  <c:v>Devadutt Naimish</c:v>
                </c:pt>
                <c:pt idx="15">
                  <c:v>Snehin Sathiamoorthy</c:v>
                </c:pt>
                <c:pt idx="16">
                  <c:v>Shishupal Vishaal</c:v>
                </c:pt>
                <c:pt idx="17">
                  <c:v>Adikavi Dibyendu</c:v>
                </c:pt>
                <c:pt idx="18">
                  <c:v>Krishna Sreenivasa</c:v>
                </c:pt>
                <c:pt idx="19">
                  <c:v>Shaan Niveda</c:v>
                </c:pt>
                <c:pt idx="20">
                  <c:v>Arav Neela</c:v>
                </c:pt>
                <c:pt idx="21">
                  <c:v>Shakunt Ranadhir</c:v>
                </c:pt>
                <c:pt idx="22">
                  <c:v>Viswanath Ranganathan</c:v>
                </c:pt>
              </c:strCache>
            </c:strRef>
          </c:cat>
          <c:val>
            <c:numRef>
              <c:f>'Data for you type and test'!$F$4:$F$26</c:f>
              <c:numCache>
                <c:formatCode>"₹"\ #,##0.00</c:formatCode>
                <c:ptCount val="23"/>
                <c:pt idx="0">
                  <c:v>1012</c:v>
                </c:pt>
                <c:pt idx="1">
                  <c:v>902</c:v>
                </c:pt>
                <c:pt idx="2">
                  <c:v>900</c:v>
                </c:pt>
                <c:pt idx="3">
                  <c:v>1804</c:v>
                </c:pt>
                <c:pt idx="4">
                  <c:v>1482</c:v>
                </c:pt>
                <c:pt idx="5">
                  <c:v>1369</c:v>
                </c:pt>
                <c:pt idx="6">
                  <c:v>2610</c:v>
                </c:pt>
                <c:pt idx="7">
                  <c:v>1591</c:v>
                </c:pt>
                <c:pt idx="8">
                  <c:v>1560</c:v>
                </c:pt>
                <c:pt idx="9">
                  <c:v>1200</c:v>
                </c:pt>
                <c:pt idx="10">
                  <c:v>1247</c:v>
                </c:pt>
                <c:pt idx="11">
                  <c:v>900</c:v>
                </c:pt>
                <c:pt idx="12">
                  <c:v>2000</c:v>
                </c:pt>
                <c:pt idx="13">
                  <c:v>1890</c:v>
                </c:pt>
                <c:pt idx="14">
                  <c:v>1755</c:v>
                </c:pt>
                <c:pt idx="15">
                  <c:v>1404</c:v>
                </c:pt>
                <c:pt idx="16">
                  <c:v>2262</c:v>
                </c:pt>
                <c:pt idx="17">
                  <c:v>1505</c:v>
                </c:pt>
                <c:pt idx="18">
                  <c:v>1260</c:v>
                </c:pt>
                <c:pt idx="19">
                  <c:v>1260</c:v>
                </c:pt>
                <c:pt idx="20">
                  <c:v>1056</c:v>
                </c:pt>
                <c:pt idx="21">
                  <c:v>1500</c:v>
                </c:pt>
                <c:pt idx="22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6-4FE6-BF29-14F3D6B39C1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2479696"/>
        <c:axId val="824729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'Data for you type and test'!$C$4:$C$26</c15:sqref>
                        </c15:formulaRef>
                      </c:ext>
                    </c:extLst>
                    <c:strCache>
                      <c:ptCount val="23"/>
                      <c:pt idx="0">
                        <c:v>Mahin Rajaram</c:v>
                      </c:pt>
                      <c:pt idx="1">
                        <c:v>Omprakash Navya</c:v>
                      </c:pt>
                      <c:pt idx="2">
                        <c:v>Vallabh Nagaswamy</c:v>
                      </c:pt>
                      <c:pt idx="3">
                        <c:v>Raghuvir Veeramany</c:v>
                      </c:pt>
                      <c:pt idx="4">
                        <c:v>Nityanand Nehru</c:v>
                      </c:pt>
                      <c:pt idx="5">
                        <c:v>Shashishekhar Chakrabarti</c:v>
                      </c:pt>
                      <c:pt idx="6">
                        <c:v>Anbumadi Tummala</c:v>
                      </c:pt>
                      <c:pt idx="7">
                        <c:v>Dindayal Mallika</c:v>
                      </c:pt>
                      <c:pt idx="8">
                        <c:v>Sankalpa Chinmay</c:v>
                      </c:pt>
                      <c:pt idx="9">
                        <c:v>Chhandak Prajna</c:v>
                      </c:pt>
                      <c:pt idx="10">
                        <c:v>Divyesh Sethi</c:v>
                      </c:pt>
                      <c:pt idx="11">
                        <c:v>Bibhavasu Sathyanarayana</c:v>
                      </c:pt>
                      <c:pt idx="12">
                        <c:v>Siddhanta Rima</c:v>
                      </c:pt>
                      <c:pt idx="13">
                        <c:v>Kashiprasad Mahajan</c:v>
                      </c:pt>
                      <c:pt idx="14">
                        <c:v>Devadutt Naimish</c:v>
                      </c:pt>
                      <c:pt idx="15">
                        <c:v>Snehin Sathiamoorthy</c:v>
                      </c:pt>
                      <c:pt idx="16">
                        <c:v>Shishupal Vishaal</c:v>
                      </c:pt>
                      <c:pt idx="17">
                        <c:v>Adikavi Dibyendu</c:v>
                      </c:pt>
                      <c:pt idx="18">
                        <c:v>Krishna Sreenivasa</c:v>
                      </c:pt>
                      <c:pt idx="19">
                        <c:v>Shaan Niveda</c:v>
                      </c:pt>
                      <c:pt idx="20">
                        <c:v>Arav Neela</c:v>
                      </c:pt>
                      <c:pt idx="21">
                        <c:v>Shakunt Ranadhir</c:v>
                      </c:pt>
                      <c:pt idx="22">
                        <c:v>Viswanath Ranganathan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'Data for you type and test'!$C$4:$C$26</c15:sqref>
                        </c15:formulaRef>
                      </c:ext>
                    </c:extLst>
                    <c:strCache>
                      <c:ptCount val="23"/>
                      <c:pt idx="0">
                        <c:v>Mahin Rajaram</c:v>
                      </c:pt>
                      <c:pt idx="1">
                        <c:v>Omprakash Navya</c:v>
                      </c:pt>
                      <c:pt idx="2">
                        <c:v>Vallabh Nagaswamy</c:v>
                      </c:pt>
                      <c:pt idx="3">
                        <c:v>Raghuvir Veeramany</c:v>
                      </c:pt>
                      <c:pt idx="4">
                        <c:v>Nityanand Nehru</c:v>
                      </c:pt>
                      <c:pt idx="5">
                        <c:v>Shashishekhar Chakrabarti</c:v>
                      </c:pt>
                      <c:pt idx="6">
                        <c:v>Anbumadi Tummala</c:v>
                      </c:pt>
                      <c:pt idx="7">
                        <c:v>Dindayal Mallika</c:v>
                      </c:pt>
                      <c:pt idx="8">
                        <c:v>Sankalpa Chinmay</c:v>
                      </c:pt>
                      <c:pt idx="9">
                        <c:v>Chhandak Prajna</c:v>
                      </c:pt>
                      <c:pt idx="10">
                        <c:v>Divyesh Sethi</c:v>
                      </c:pt>
                      <c:pt idx="11">
                        <c:v>Bibhavasu Sathyanarayana</c:v>
                      </c:pt>
                      <c:pt idx="12">
                        <c:v>Siddhanta Rima</c:v>
                      </c:pt>
                      <c:pt idx="13">
                        <c:v>Kashiprasad Mahajan</c:v>
                      </c:pt>
                      <c:pt idx="14">
                        <c:v>Devadutt Naimish</c:v>
                      </c:pt>
                      <c:pt idx="15">
                        <c:v>Snehin Sathiamoorthy</c:v>
                      </c:pt>
                      <c:pt idx="16">
                        <c:v>Shishupal Vishaal</c:v>
                      </c:pt>
                      <c:pt idx="17">
                        <c:v>Adikavi Dibyendu</c:v>
                      </c:pt>
                      <c:pt idx="18">
                        <c:v>Krishna Sreenivasa</c:v>
                      </c:pt>
                      <c:pt idx="19">
                        <c:v>Shaan Niveda</c:v>
                      </c:pt>
                      <c:pt idx="20">
                        <c:v>Arav Neela</c:v>
                      </c:pt>
                      <c:pt idx="21">
                        <c:v>Shakunt Ranadhir</c:v>
                      </c:pt>
                      <c:pt idx="22">
                        <c:v>Viswanath Ranganathan</c:v>
                      </c:pt>
                    </c:strCache>
                  </c: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0DF6-4FE6-BF29-14F3D6B39C12}"/>
                  </c:ext>
                </c:extLst>
              </c15:ser>
            </c15:filteredBarSeries>
          </c:ext>
        </c:extLst>
      </c:barChart>
      <c:catAx>
        <c:axId val="8247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2976"/>
        <c:crosses val="autoZero"/>
        <c:auto val="1"/>
        <c:lblAlgn val="ctr"/>
        <c:lblOffset val="100"/>
        <c:noMultiLvlLbl val="0"/>
      </c:catAx>
      <c:valAx>
        <c:axId val="8247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895047</xdr:colOff>
      <xdr:row>0</xdr:row>
      <xdr:rowOff>133432</xdr:rowOff>
    </xdr:from>
    <xdr:to>
      <xdr:col>7</xdr:col>
      <xdr:colOff>0</xdr:colOff>
      <xdr:row>2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A46DB2-DDB6-41FF-85C7-3F266DA03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7524447" y="13343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9</xdr:col>
      <xdr:colOff>381000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C0EE01-44B5-4491-950C-8D8CE8A36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278130</xdr:colOff>
      <xdr:row>9</xdr:row>
      <xdr:rowOff>144780</xdr:rowOff>
    </xdr:from>
    <xdr:to>
      <xdr:col>13</xdr:col>
      <xdr:colOff>95250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56D07-4F82-6AFB-5C20-063328F92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B875A-5629-490F-8FF0-EF46924602DB}" name="sales" displayName="sales" ref="B5:G28" totalsRowShown="0">
  <autoFilter ref="B5:G28" xr:uid="{0A2B875A-5629-490F-8FF0-EF46924602DB}"/>
  <sortState xmlns:xlrd2="http://schemas.microsoft.com/office/spreadsheetml/2017/richdata2" ref="B6:G28">
    <sortCondition ref="F5:F28"/>
  </sortState>
  <tableColumns count="6">
    <tableColumn id="1" xr3:uid="{657CFCCC-43F1-44CB-9F8B-6F360509BE24}" name="Date" dataDxfId="12"/>
    <tableColumn id="2" xr3:uid="{C4468D7E-3C97-4764-816F-5975CD0EAFA6}" name="Name"/>
    <tableColumn id="3" xr3:uid="{3A507624-53C3-4D1F-AE3A-088160DC387F}" name="Email"/>
    <tableColumn id="4" xr3:uid="{EEC6CCD2-B040-41A2-BE03-FC4CB0033789}" name="Boxes Sold"/>
    <tableColumn id="5" xr3:uid="{15A0F4FB-0B7A-421E-92BF-97B16881AFFA}" name="Amount" dataDxfId="11"/>
    <tableColumn id="6" xr3:uid="{703C786E-FF3C-495A-9260-323A8F219738}" name="Payment Mode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2B999E-609E-4D1B-9744-629E479B7304}" name="Table2" displayName="Table2" ref="B3:G26" totalsRowShown="0" headerRowDxfId="4" headerRowBorderDxfId="9" tableBorderDxfId="10" totalsRowBorderDxfId="8">
  <autoFilter ref="B3:G26" xr:uid="{C918A3F2-7C1D-4A89-8F0F-4E59FD2A5907}"/>
  <sortState xmlns:xlrd2="http://schemas.microsoft.com/office/spreadsheetml/2017/richdata2" ref="B4:G26">
    <sortCondition ref="B3:B26"/>
  </sortState>
  <tableColumns count="6">
    <tableColumn id="1" xr3:uid="{F041A0E0-66B9-41AD-9BE6-9BE8AC563465}" name="Date" dataDxfId="7"/>
    <tableColumn id="2" xr3:uid="{5AB93F1D-7474-4F83-B25E-FF79BFEBDECF}" name="Name" dataDxfId="6"/>
    <tableColumn id="3" xr3:uid="{42B8C74A-67CA-40F0-A310-3CC9345438A9}" name="Email" dataDxfId="5"/>
    <tableColumn id="4" xr3:uid="{3605B347-2AEC-491B-BC8F-5D7561EA684B}" name="Boxes Sold" dataDxfId="3"/>
    <tableColumn id="5" xr3:uid="{3783E03F-296A-45C4-BC69-1EE3ADC45662}" name="Amount" dataDxfId="1"/>
    <tableColumn id="6" xr3:uid="{E99E1426-4F47-4254-A771-B96FBADCFBA3}" name="Payment 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ndoo.org/wp/advanced-excel-skills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chandoo.org/wp/excel-basics/" TargetMode="External"/><Relationship Id="rId1" Type="http://schemas.openxmlformats.org/officeDocument/2006/relationships/hyperlink" Target="https://youtu.be/v2oNWja7M2E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chandoo.org/wp/excel-school-program/" TargetMode="External"/><Relationship Id="rId4" Type="http://schemas.openxmlformats.org/officeDocument/2006/relationships/hyperlink" Target="https://youtu.be/aofsdpjvK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CDFF-A936-4CA0-9128-8FF3B9882427}">
  <dimension ref="B1:K28"/>
  <sheetViews>
    <sheetView zoomScaleNormal="100" workbookViewId="0">
      <selection activeCell="I14" sqref="I14"/>
    </sheetView>
  </sheetViews>
  <sheetFormatPr defaultRowHeight="18" x14ac:dyDescent="0.35"/>
  <cols>
    <col min="2" max="2" width="11.4140625" customWidth="1"/>
    <col min="3" max="3" width="21.9140625" bestFit="1" customWidth="1"/>
    <col min="4" max="4" width="27.5" bestFit="1" customWidth="1"/>
    <col min="5" max="5" width="10.83203125" customWidth="1"/>
    <col min="6" max="6" width="8.58203125" customWidth="1"/>
    <col min="7" max="7" width="14.33203125" customWidth="1"/>
    <col min="10" max="10" width="4.08203125" customWidth="1"/>
    <col min="11" max="11" width="48.4140625" customWidth="1"/>
  </cols>
  <sheetData>
    <row r="1" spans="2:11" s="2" customFormat="1" ht="47.25" customHeight="1" x14ac:dyDescent="0.35">
      <c r="B1" s="1" t="s">
        <v>0</v>
      </c>
    </row>
    <row r="5" spans="2:11" x14ac:dyDescent="0.35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K5" s="8" t="s">
        <v>69</v>
      </c>
    </row>
    <row r="6" spans="2:11" x14ac:dyDescent="0.35">
      <c r="B6" s="3">
        <v>44433</v>
      </c>
      <c r="C6" t="s">
        <v>7</v>
      </c>
      <c r="D6" t="s">
        <v>8</v>
      </c>
      <c r="E6">
        <v>23</v>
      </c>
      <c r="F6" s="5">
        <v>900</v>
      </c>
      <c r="G6" t="s">
        <v>9</v>
      </c>
      <c r="J6" s="9">
        <v>1</v>
      </c>
      <c r="K6" s="10" t="s">
        <v>64</v>
      </c>
    </row>
    <row r="7" spans="2:11" x14ac:dyDescent="0.35">
      <c r="B7" s="3">
        <v>44438</v>
      </c>
      <c r="C7" t="s">
        <v>28</v>
      </c>
      <c r="D7" t="s">
        <v>29</v>
      </c>
      <c r="E7">
        <v>25</v>
      </c>
      <c r="F7" s="5">
        <v>900</v>
      </c>
      <c r="G7" t="s">
        <v>9</v>
      </c>
      <c r="J7" s="9">
        <v>2</v>
      </c>
      <c r="K7" s="10" t="s">
        <v>65</v>
      </c>
    </row>
    <row r="8" spans="2:11" x14ac:dyDescent="0.35">
      <c r="B8" s="3">
        <v>44433</v>
      </c>
      <c r="C8" t="s">
        <v>12</v>
      </c>
      <c r="D8" t="s">
        <v>13</v>
      </c>
      <c r="E8">
        <v>22</v>
      </c>
      <c r="F8" s="5">
        <v>902</v>
      </c>
      <c r="G8" t="s">
        <v>50</v>
      </c>
      <c r="H8" s="12"/>
      <c r="I8" s="12"/>
      <c r="J8" s="9">
        <v>3</v>
      </c>
      <c r="K8" s="10" t="s">
        <v>66</v>
      </c>
    </row>
    <row r="9" spans="2:11" x14ac:dyDescent="0.35">
      <c r="B9" s="3">
        <v>44441</v>
      </c>
      <c r="C9" t="s">
        <v>56</v>
      </c>
      <c r="D9" t="s">
        <v>57</v>
      </c>
      <c r="E9">
        <v>32</v>
      </c>
      <c r="F9" s="5">
        <v>1010</v>
      </c>
      <c r="G9" t="s">
        <v>51</v>
      </c>
      <c r="H9" s="12"/>
      <c r="I9" s="12"/>
      <c r="J9" s="9">
        <v>4</v>
      </c>
      <c r="K9" s="10" t="s">
        <v>68</v>
      </c>
    </row>
    <row r="10" spans="2:11" x14ac:dyDescent="0.35">
      <c r="B10" s="3">
        <v>44433</v>
      </c>
      <c r="C10" t="s">
        <v>10</v>
      </c>
      <c r="D10" t="s">
        <v>11</v>
      </c>
      <c r="E10">
        <v>23</v>
      </c>
      <c r="F10" s="5">
        <v>1012</v>
      </c>
      <c r="G10" t="s">
        <v>9</v>
      </c>
      <c r="H10" s="12"/>
      <c r="I10" s="12"/>
      <c r="J10" s="9">
        <v>5</v>
      </c>
      <c r="K10" s="11" t="s">
        <v>67</v>
      </c>
    </row>
    <row r="11" spans="2:11" x14ac:dyDescent="0.35">
      <c r="B11" s="3">
        <v>44440</v>
      </c>
      <c r="C11" t="s">
        <v>48</v>
      </c>
      <c r="D11" t="s">
        <v>49</v>
      </c>
      <c r="E11">
        <v>24</v>
      </c>
      <c r="F11" s="5">
        <v>1056</v>
      </c>
      <c r="G11" t="s">
        <v>50</v>
      </c>
      <c r="H11" s="12"/>
      <c r="I11" s="12"/>
    </row>
    <row r="12" spans="2:11" x14ac:dyDescent="0.35">
      <c r="B12" s="3">
        <v>44435</v>
      </c>
      <c r="C12" t="s">
        <v>46</v>
      </c>
      <c r="D12" t="s">
        <v>47</v>
      </c>
      <c r="E12">
        <v>30</v>
      </c>
      <c r="F12" s="5">
        <v>1200</v>
      </c>
      <c r="G12" t="s">
        <v>51</v>
      </c>
      <c r="H12" s="12"/>
      <c r="I12" s="12"/>
    </row>
    <row r="13" spans="2:11" x14ac:dyDescent="0.35">
      <c r="B13" s="3">
        <v>44438</v>
      </c>
      <c r="C13" t="s">
        <v>26</v>
      </c>
      <c r="D13" t="s">
        <v>27</v>
      </c>
      <c r="E13">
        <v>29</v>
      </c>
      <c r="F13" s="5">
        <v>1247</v>
      </c>
      <c r="G13" t="s">
        <v>51</v>
      </c>
      <c r="H13" s="12"/>
      <c r="I13" s="16"/>
    </row>
    <row r="14" spans="2:11" x14ac:dyDescent="0.35">
      <c r="B14" s="3">
        <v>44440</v>
      </c>
      <c r="C14" t="s">
        <v>44</v>
      </c>
      <c r="D14" t="s">
        <v>45</v>
      </c>
      <c r="E14">
        <v>36</v>
      </c>
      <c r="F14" s="5">
        <v>1260</v>
      </c>
      <c r="G14" t="s">
        <v>9</v>
      </c>
      <c r="H14" s="12"/>
      <c r="I14" s="12"/>
    </row>
    <row r="15" spans="2:11" x14ac:dyDescent="0.35">
      <c r="B15" s="3">
        <v>44440</v>
      </c>
      <c r="C15" t="s">
        <v>40</v>
      </c>
      <c r="D15" t="s">
        <v>41</v>
      </c>
      <c r="E15">
        <v>28</v>
      </c>
      <c r="F15" s="5">
        <v>1260</v>
      </c>
      <c r="G15" t="s">
        <v>51</v>
      </c>
      <c r="H15" s="12"/>
      <c r="I15" s="12"/>
    </row>
    <row r="16" spans="2:11" x14ac:dyDescent="0.35">
      <c r="B16" s="3">
        <v>44434</v>
      </c>
      <c r="C16" t="s">
        <v>14</v>
      </c>
      <c r="D16" t="s">
        <v>15</v>
      </c>
      <c r="E16">
        <v>37</v>
      </c>
      <c r="F16" s="5">
        <v>1369</v>
      </c>
      <c r="G16" t="s">
        <v>50</v>
      </c>
      <c r="H16" s="12"/>
      <c r="I16" s="12"/>
    </row>
    <row r="17" spans="2:10" x14ac:dyDescent="0.35">
      <c r="B17" s="3">
        <v>44439</v>
      </c>
      <c r="C17" t="s">
        <v>36</v>
      </c>
      <c r="D17" t="s">
        <v>37</v>
      </c>
      <c r="E17">
        <v>36</v>
      </c>
      <c r="F17" s="5">
        <v>1404</v>
      </c>
      <c r="G17" t="s">
        <v>51</v>
      </c>
      <c r="H17" s="12"/>
    </row>
    <row r="18" spans="2:10" x14ac:dyDescent="0.35">
      <c r="B18" s="3">
        <v>44434</v>
      </c>
      <c r="C18" t="s">
        <v>16</v>
      </c>
      <c r="D18" t="s">
        <v>17</v>
      </c>
      <c r="E18">
        <v>38</v>
      </c>
      <c r="F18" s="5">
        <v>1482</v>
      </c>
      <c r="G18" t="s">
        <v>9</v>
      </c>
    </row>
    <row r="19" spans="2:10" x14ac:dyDescent="0.35">
      <c r="B19" s="3">
        <v>44441</v>
      </c>
      <c r="C19" t="s">
        <v>52</v>
      </c>
      <c r="D19" t="s">
        <v>53</v>
      </c>
      <c r="E19">
        <v>30</v>
      </c>
      <c r="F19" s="5">
        <v>1500</v>
      </c>
      <c r="G19" t="s">
        <v>50</v>
      </c>
    </row>
    <row r="20" spans="2:10" x14ac:dyDescent="0.35">
      <c r="B20" s="3">
        <v>44440</v>
      </c>
      <c r="C20" t="s">
        <v>42</v>
      </c>
      <c r="D20" t="s">
        <v>43</v>
      </c>
      <c r="E20">
        <v>35</v>
      </c>
      <c r="F20" s="5">
        <v>1505</v>
      </c>
      <c r="G20" t="s">
        <v>50</v>
      </c>
      <c r="J20" s="12"/>
    </row>
    <row r="21" spans="2:10" x14ac:dyDescent="0.35">
      <c r="B21" s="3">
        <v>44435</v>
      </c>
      <c r="C21" t="s">
        <v>24</v>
      </c>
      <c r="D21" t="s">
        <v>25</v>
      </c>
      <c r="E21">
        <v>40</v>
      </c>
      <c r="F21" s="5">
        <v>1560</v>
      </c>
      <c r="G21" t="s">
        <v>9</v>
      </c>
    </row>
    <row r="22" spans="2:10" x14ac:dyDescent="0.35">
      <c r="B22" s="3">
        <v>44435</v>
      </c>
      <c r="C22" t="s">
        <v>22</v>
      </c>
      <c r="D22" t="s">
        <v>23</v>
      </c>
      <c r="E22">
        <v>37</v>
      </c>
      <c r="F22" s="5">
        <v>1591</v>
      </c>
      <c r="G22" t="s">
        <v>50</v>
      </c>
    </row>
    <row r="23" spans="2:10" x14ac:dyDescent="0.35">
      <c r="B23" s="3">
        <v>44439</v>
      </c>
      <c r="C23" t="s">
        <v>34</v>
      </c>
      <c r="D23" t="s">
        <v>35</v>
      </c>
      <c r="E23">
        <v>45</v>
      </c>
      <c r="F23" s="5">
        <v>1755</v>
      </c>
      <c r="G23" t="s">
        <v>50</v>
      </c>
    </row>
    <row r="24" spans="2:10" x14ac:dyDescent="0.35">
      <c r="B24" s="3">
        <v>44434</v>
      </c>
      <c r="C24" t="s">
        <v>18</v>
      </c>
      <c r="D24" t="s">
        <v>19</v>
      </c>
      <c r="E24">
        <v>41</v>
      </c>
      <c r="F24" s="5">
        <v>1804</v>
      </c>
      <c r="G24" t="s">
        <v>9</v>
      </c>
    </row>
    <row r="25" spans="2:10" x14ac:dyDescent="0.35">
      <c r="B25" s="3">
        <v>44439</v>
      </c>
      <c r="C25" t="s">
        <v>30</v>
      </c>
      <c r="D25" t="s">
        <v>31</v>
      </c>
      <c r="E25">
        <v>42</v>
      </c>
      <c r="F25" s="5">
        <v>1890</v>
      </c>
      <c r="G25" t="s">
        <v>9</v>
      </c>
    </row>
    <row r="26" spans="2:10" x14ac:dyDescent="0.35">
      <c r="B26" s="3">
        <v>44439</v>
      </c>
      <c r="C26" t="s">
        <v>32</v>
      </c>
      <c r="D26" t="s">
        <v>33</v>
      </c>
      <c r="E26">
        <v>50</v>
      </c>
      <c r="F26" s="5">
        <v>2000</v>
      </c>
      <c r="G26" t="s">
        <v>51</v>
      </c>
    </row>
    <row r="27" spans="2:10" x14ac:dyDescent="0.35">
      <c r="B27" s="3">
        <v>44440</v>
      </c>
      <c r="C27" t="s">
        <v>38</v>
      </c>
      <c r="D27" t="s">
        <v>39</v>
      </c>
      <c r="E27">
        <v>58</v>
      </c>
      <c r="F27" s="5">
        <v>2262</v>
      </c>
      <c r="G27" t="s">
        <v>51</v>
      </c>
    </row>
    <row r="28" spans="2:10" x14ac:dyDescent="0.35">
      <c r="B28" s="3">
        <v>44435</v>
      </c>
      <c r="C28" t="s">
        <v>20</v>
      </c>
      <c r="D28" t="s">
        <v>21</v>
      </c>
      <c r="E28">
        <v>54</v>
      </c>
      <c r="F28" s="5">
        <v>2610</v>
      </c>
      <c r="G28" t="s">
        <v>9</v>
      </c>
    </row>
  </sheetData>
  <conditionalFormatting sqref="F6:F28">
    <cfRule type="cellIs" dxfId="13" priority="1" operator="lessThan">
      <formula>1200</formula>
    </cfRule>
  </conditionalFormatting>
  <hyperlinks>
    <hyperlink ref="K6" r:id="rId1" xr:uid="{48C01A1C-39D7-4AB6-A13B-FF0D2E4BC034}"/>
    <hyperlink ref="K7" r:id="rId2" xr:uid="{872CDC0D-7413-4183-826A-6A29A51F8A8F}"/>
    <hyperlink ref="K8" r:id="rId3" xr:uid="{359B5F8A-4325-4DBF-A219-163D237555CF}"/>
    <hyperlink ref="K9" r:id="rId4" xr:uid="{FF318481-9250-441C-A5F1-0A7456B82DDE}"/>
    <hyperlink ref="K10" r:id="rId5" xr:uid="{1BED3F98-91B0-4EC8-9964-B21E71477CC6}"/>
  </hyperlinks>
  <pageMargins left="0.7" right="0.7" top="0.75" bottom="0.75" header="0.3" footer="0.3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21D2-5508-4A86-AF5F-276C8AA5ED30}">
  <dimension ref="B1:C8"/>
  <sheetViews>
    <sheetView workbookViewId="0">
      <selection activeCell="D14" sqref="D14"/>
    </sheetView>
  </sheetViews>
  <sheetFormatPr defaultRowHeight="18" x14ac:dyDescent="0.35"/>
  <cols>
    <col min="2" max="2" width="14" customWidth="1"/>
  </cols>
  <sheetData>
    <row r="1" spans="2:3" s="2" customFormat="1" ht="47.25" customHeight="1" x14ac:dyDescent="0.35">
      <c r="B1" s="1" t="s">
        <v>0</v>
      </c>
    </row>
    <row r="4" spans="2:3" x14ac:dyDescent="0.35">
      <c r="B4" s="4" t="s">
        <v>54</v>
      </c>
      <c r="C4" s="4">
        <f>SUM(sales[Boxes Sold])</f>
        <v>815</v>
      </c>
    </row>
    <row r="5" spans="2:3" x14ac:dyDescent="0.35">
      <c r="B5" s="4" t="s">
        <v>55</v>
      </c>
      <c r="C5" s="6">
        <f>SUM(sales[Amount])</f>
        <v>33479</v>
      </c>
    </row>
    <row r="7" spans="2:3" x14ac:dyDescent="0.35">
      <c r="B7" s="4" t="s">
        <v>58</v>
      </c>
      <c r="C7" s="7">
        <f>AVERAGE(sales[Boxes Sold])</f>
        <v>35.434782608695649</v>
      </c>
    </row>
    <row r="8" spans="2:3" x14ac:dyDescent="0.35">
      <c r="B8" s="4" t="s">
        <v>59</v>
      </c>
      <c r="C8" s="6">
        <f>AVERAGE(sales[Amount])</f>
        <v>1455.608695652174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A3F2-7C1D-4A89-8F0F-4E59FD2A5907}">
  <dimension ref="B3:I26"/>
  <sheetViews>
    <sheetView tabSelected="1" workbookViewId="0">
      <selection activeCell="A4" sqref="A4"/>
    </sheetView>
  </sheetViews>
  <sheetFormatPr defaultRowHeight="18" x14ac:dyDescent="0.35"/>
  <cols>
    <col min="2" max="2" width="9.08203125" bestFit="1" customWidth="1"/>
    <col min="3" max="3" width="21.9140625" bestFit="1" customWidth="1"/>
    <col min="4" max="4" width="27.5" bestFit="1" customWidth="1"/>
    <col min="5" max="5" width="10.75" customWidth="1"/>
    <col min="6" max="6" width="10.4140625" customWidth="1"/>
    <col min="7" max="7" width="14.33203125" customWidth="1"/>
  </cols>
  <sheetData>
    <row r="3" spans="2:9" x14ac:dyDescent="0.35">
      <c r="B3" s="15" t="s">
        <v>1</v>
      </c>
      <c r="C3" s="13" t="s">
        <v>2</v>
      </c>
      <c r="D3" s="13" t="s">
        <v>3</v>
      </c>
      <c r="E3" s="13" t="s">
        <v>4</v>
      </c>
      <c r="F3" s="27" t="s">
        <v>5</v>
      </c>
      <c r="G3" s="17" t="s">
        <v>6</v>
      </c>
    </row>
    <row r="4" spans="2:9" x14ac:dyDescent="0.35">
      <c r="B4" s="18">
        <v>44433</v>
      </c>
      <c r="C4" s="4" t="s">
        <v>10</v>
      </c>
      <c r="D4" s="4" t="s">
        <v>11</v>
      </c>
      <c r="E4" s="4">
        <v>23</v>
      </c>
      <c r="F4" s="24">
        <v>1012</v>
      </c>
      <c r="G4" s="19" t="s">
        <v>9</v>
      </c>
      <c r="I4">
        <f>SUM(Table2[Amount])</f>
        <v>33479</v>
      </c>
    </row>
    <row r="5" spans="2:9" x14ac:dyDescent="0.35">
      <c r="B5" s="18">
        <v>44433</v>
      </c>
      <c r="C5" s="4" t="s">
        <v>12</v>
      </c>
      <c r="D5" s="4" t="s">
        <v>13</v>
      </c>
      <c r="E5" s="4">
        <v>22</v>
      </c>
      <c r="F5" s="24">
        <v>902</v>
      </c>
      <c r="G5" s="19" t="s">
        <v>50</v>
      </c>
      <c r="I5">
        <f>SUM(Table2[Boxes Sold])</f>
        <v>815</v>
      </c>
    </row>
    <row r="6" spans="2:9" x14ac:dyDescent="0.35">
      <c r="B6" s="18">
        <v>44433</v>
      </c>
      <c r="C6" s="4" t="s">
        <v>7</v>
      </c>
      <c r="D6" s="4" t="s">
        <v>8</v>
      </c>
      <c r="E6" s="4">
        <v>23</v>
      </c>
      <c r="F6" s="24">
        <v>900</v>
      </c>
      <c r="G6" s="19" t="s">
        <v>9</v>
      </c>
    </row>
    <row r="7" spans="2:9" x14ac:dyDescent="0.35">
      <c r="B7" s="18">
        <v>44434</v>
      </c>
      <c r="C7" s="4" t="s">
        <v>18</v>
      </c>
      <c r="D7" s="4" t="s">
        <v>19</v>
      </c>
      <c r="E7" s="4">
        <v>41</v>
      </c>
      <c r="F7" s="24">
        <v>1804</v>
      </c>
      <c r="G7" s="19" t="s">
        <v>9</v>
      </c>
    </row>
    <row r="8" spans="2:9" x14ac:dyDescent="0.35">
      <c r="B8" s="18">
        <v>44434</v>
      </c>
      <c r="C8" s="4" t="s">
        <v>16</v>
      </c>
      <c r="D8" s="4" t="s">
        <v>17</v>
      </c>
      <c r="E8" s="4">
        <v>38</v>
      </c>
      <c r="F8" s="24">
        <v>1482</v>
      </c>
      <c r="G8" s="19" t="s">
        <v>9</v>
      </c>
      <c r="I8" s="22">
        <f>AVERAGE(Table2[Amount])</f>
        <v>1455.608695652174</v>
      </c>
    </row>
    <row r="9" spans="2:9" x14ac:dyDescent="0.35">
      <c r="B9" s="18">
        <v>44434</v>
      </c>
      <c r="C9" s="4" t="s">
        <v>14</v>
      </c>
      <c r="D9" s="4" t="s">
        <v>15</v>
      </c>
      <c r="E9" s="4">
        <v>37</v>
      </c>
      <c r="F9" s="24">
        <v>1369</v>
      </c>
      <c r="G9" s="19" t="s">
        <v>50</v>
      </c>
      <c r="I9" s="23">
        <f>AVERAGE(Table2[Boxes Sold])</f>
        <v>35.434782608695649</v>
      </c>
    </row>
    <row r="10" spans="2:9" x14ac:dyDescent="0.35">
      <c r="B10" s="18">
        <v>44435</v>
      </c>
      <c r="C10" s="4" t="s">
        <v>20</v>
      </c>
      <c r="D10" s="4" t="s">
        <v>21</v>
      </c>
      <c r="E10" s="4">
        <v>54</v>
      </c>
      <c r="F10" s="26">
        <v>2610</v>
      </c>
      <c r="G10" s="19" t="s">
        <v>9</v>
      </c>
    </row>
    <row r="11" spans="2:9" x14ac:dyDescent="0.35">
      <c r="B11" s="18">
        <v>44435</v>
      </c>
      <c r="C11" s="4" t="s">
        <v>22</v>
      </c>
      <c r="D11" s="4" t="s">
        <v>23</v>
      </c>
      <c r="E11" s="4">
        <v>37</v>
      </c>
      <c r="F11" s="24">
        <v>1591</v>
      </c>
      <c r="G11" s="19" t="s">
        <v>50</v>
      </c>
    </row>
    <row r="12" spans="2:9" x14ac:dyDescent="0.35">
      <c r="B12" s="18">
        <v>44435</v>
      </c>
      <c r="C12" s="4" t="s">
        <v>24</v>
      </c>
      <c r="D12" s="4" t="s">
        <v>25</v>
      </c>
      <c r="E12" s="4">
        <v>40</v>
      </c>
      <c r="F12" s="24">
        <v>1560</v>
      </c>
      <c r="G12" s="19" t="s">
        <v>9</v>
      </c>
    </row>
    <row r="13" spans="2:9" x14ac:dyDescent="0.35">
      <c r="B13" s="18">
        <v>44435</v>
      </c>
      <c r="C13" s="4" t="s">
        <v>46</v>
      </c>
      <c r="D13" s="4" t="s">
        <v>47</v>
      </c>
      <c r="E13" s="4">
        <v>30</v>
      </c>
      <c r="F13" s="24">
        <v>1200</v>
      </c>
      <c r="G13" s="19" t="s">
        <v>51</v>
      </c>
    </row>
    <row r="14" spans="2:9" x14ac:dyDescent="0.35">
      <c r="B14" s="18">
        <v>44438</v>
      </c>
      <c r="C14" s="4" t="s">
        <v>26</v>
      </c>
      <c r="D14" s="4" t="s">
        <v>27</v>
      </c>
      <c r="E14" s="4">
        <v>29</v>
      </c>
      <c r="F14" s="24">
        <v>1247</v>
      </c>
      <c r="G14" s="19" t="s">
        <v>51</v>
      </c>
    </row>
    <row r="15" spans="2:9" x14ac:dyDescent="0.35">
      <c r="B15" s="18">
        <v>44438</v>
      </c>
      <c r="C15" s="4" t="s">
        <v>28</v>
      </c>
      <c r="D15" s="4" t="s">
        <v>29</v>
      </c>
      <c r="E15" s="4">
        <v>25</v>
      </c>
      <c r="F15" s="24">
        <v>900</v>
      </c>
      <c r="G15" s="19" t="s">
        <v>9</v>
      </c>
    </row>
    <row r="16" spans="2:9" x14ac:dyDescent="0.35">
      <c r="B16" s="18">
        <v>44439</v>
      </c>
      <c r="C16" s="4" t="s">
        <v>32</v>
      </c>
      <c r="D16" s="4" t="s">
        <v>33</v>
      </c>
      <c r="E16" s="4">
        <v>50</v>
      </c>
      <c r="F16" s="24">
        <v>2000</v>
      </c>
      <c r="G16" s="19" t="s">
        <v>51</v>
      </c>
    </row>
    <row r="17" spans="2:7" x14ac:dyDescent="0.35">
      <c r="B17" s="18">
        <v>44439</v>
      </c>
      <c r="C17" s="4" t="s">
        <v>30</v>
      </c>
      <c r="D17" s="4" t="s">
        <v>31</v>
      </c>
      <c r="E17" s="4">
        <v>42</v>
      </c>
      <c r="F17" s="24">
        <v>1890</v>
      </c>
      <c r="G17" s="19" t="s">
        <v>9</v>
      </c>
    </row>
    <row r="18" spans="2:7" x14ac:dyDescent="0.35">
      <c r="B18" s="18">
        <v>44439</v>
      </c>
      <c r="C18" s="4" t="s">
        <v>34</v>
      </c>
      <c r="D18" s="4" t="s">
        <v>35</v>
      </c>
      <c r="E18" s="4">
        <v>45</v>
      </c>
      <c r="F18" s="24">
        <v>1755</v>
      </c>
      <c r="G18" s="19" t="s">
        <v>50</v>
      </c>
    </row>
    <row r="19" spans="2:7" x14ac:dyDescent="0.35">
      <c r="B19" s="18">
        <v>44439</v>
      </c>
      <c r="C19" s="4" t="s">
        <v>36</v>
      </c>
      <c r="D19" s="4" t="s">
        <v>37</v>
      </c>
      <c r="E19" s="4">
        <v>36</v>
      </c>
      <c r="F19" s="24">
        <v>1404</v>
      </c>
      <c r="G19" s="19" t="s">
        <v>51</v>
      </c>
    </row>
    <row r="20" spans="2:7" x14ac:dyDescent="0.35">
      <c r="B20" s="18">
        <v>44440</v>
      </c>
      <c r="C20" s="4" t="s">
        <v>38</v>
      </c>
      <c r="D20" s="4" t="s">
        <v>39</v>
      </c>
      <c r="E20" s="4">
        <v>58</v>
      </c>
      <c r="F20" s="24">
        <v>2262</v>
      </c>
      <c r="G20" s="19" t="s">
        <v>51</v>
      </c>
    </row>
    <row r="21" spans="2:7" x14ac:dyDescent="0.35">
      <c r="B21" s="18">
        <v>44440</v>
      </c>
      <c r="C21" s="4" t="s">
        <v>42</v>
      </c>
      <c r="D21" s="4" t="s">
        <v>43</v>
      </c>
      <c r="E21" s="4">
        <v>35</v>
      </c>
      <c r="F21" s="24">
        <v>1505</v>
      </c>
      <c r="G21" s="19" t="s">
        <v>50</v>
      </c>
    </row>
    <row r="22" spans="2:7" x14ac:dyDescent="0.35">
      <c r="B22" s="18">
        <v>44440</v>
      </c>
      <c r="C22" s="4" t="s">
        <v>40</v>
      </c>
      <c r="D22" s="4" t="s">
        <v>41</v>
      </c>
      <c r="E22" s="4">
        <v>28</v>
      </c>
      <c r="F22" s="24">
        <v>1260</v>
      </c>
      <c r="G22" s="19" t="s">
        <v>51</v>
      </c>
    </row>
    <row r="23" spans="2:7" x14ac:dyDescent="0.35">
      <c r="B23" s="18">
        <v>44440</v>
      </c>
      <c r="C23" s="4" t="s">
        <v>44</v>
      </c>
      <c r="D23" s="4" t="s">
        <v>45</v>
      </c>
      <c r="E23" s="4">
        <v>36</v>
      </c>
      <c r="F23" s="24">
        <v>1260</v>
      </c>
      <c r="G23" s="19" t="s">
        <v>9</v>
      </c>
    </row>
    <row r="24" spans="2:7" x14ac:dyDescent="0.35">
      <c r="B24" s="18">
        <v>44440</v>
      </c>
      <c r="C24" s="4" t="s">
        <v>48</v>
      </c>
      <c r="D24" s="4" t="s">
        <v>49</v>
      </c>
      <c r="E24" s="4">
        <v>24</v>
      </c>
      <c r="F24" s="24">
        <v>1056</v>
      </c>
      <c r="G24" s="19" t="s">
        <v>50</v>
      </c>
    </row>
    <row r="25" spans="2:7" x14ac:dyDescent="0.35">
      <c r="B25" s="18">
        <v>44441</v>
      </c>
      <c r="C25" s="4" t="s">
        <v>52</v>
      </c>
      <c r="D25" s="4" t="s">
        <v>53</v>
      </c>
      <c r="E25" s="4">
        <v>30</v>
      </c>
      <c r="F25" s="24">
        <v>1500</v>
      </c>
      <c r="G25" s="19" t="s">
        <v>50</v>
      </c>
    </row>
    <row r="26" spans="2:7" x14ac:dyDescent="0.35">
      <c r="B26" s="20">
        <v>44441</v>
      </c>
      <c r="C26" s="14" t="s">
        <v>56</v>
      </c>
      <c r="D26" s="14" t="s">
        <v>57</v>
      </c>
      <c r="E26" s="14">
        <v>32</v>
      </c>
      <c r="F26" s="25">
        <v>1010</v>
      </c>
      <c r="G26" s="21" t="s">
        <v>51</v>
      </c>
    </row>
  </sheetData>
  <conditionalFormatting sqref="F4:F26">
    <cfRule type="cellIs" dxfId="0" priority="1" operator="lessThan">
      <formula>1200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A7A1-48E3-41C1-854D-23F3925AC949}">
  <dimension ref="B2:C6"/>
  <sheetViews>
    <sheetView workbookViewId="0">
      <selection activeCell="F23" sqref="F23"/>
    </sheetView>
  </sheetViews>
  <sheetFormatPr defaultRowHeight="18" x14ac:dyDescent="0.35"/>
  <cols>
    <col min="2" max="2" width="2.5" customWidth="1"/>
  </cols>
  <sheetData>
    <row r="2" spans="2:3" x14ac:dyDescent="0.35">
      <c r="B2" s="8" t="s">
        <v>60</v>
      </c>
    </row>
    <row r="4" spans="2:3" x14ac:dyDescent="0.35">
      <c r="B4">
        <v>1</v>
      </c>
      <c r="C4" t="s">
        <v>61</v>
      </c>
    </row>
    <row r="5" spans="2:3" x14ac:dyDescent="0.35">
      <c r="B5">
        <v>2</v>
      </c>
      <c r="C5" t="s">
        <v>62</v>
      </c>
    </row>
    <row r="6" spans="2:3" x14ac:dyDescent="0.35">
      <c r="B6">
        <v>3</v>
      </c>
      <c r="C6" t="s">
        <v>63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Tracker</vt:lpstr>
      <vt:lpstr>Summary</vt:lpstr>
      <vt:lpstr>Data for you type and test</vt:lpstr>
      <vt:lpstr>Homework 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mv kumar</cp:lastModifiedBy>
  <dcterms:created xsi:type="dcterms:W3CDTF">2021-08-24T21:36:28Z</dcterms:created>
  <dcterms:modified xsi:type="dcterms:W3CDTF">2024-10-27T15:42:27Z</dcterms:modified>
</cp:coreProperties>
</file>