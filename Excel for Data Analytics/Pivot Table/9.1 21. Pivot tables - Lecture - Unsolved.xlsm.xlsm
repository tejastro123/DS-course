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DC0577C1-23F6-470C-8793-8DF878EF7FF1}" xr6:coauthVersionLast="43" xr6:coauthVersionMax="43" xr10:uidLastSave="{00000000-0000-0000-0000-000000000000}"/>
  <bookViews>
    <workbookView xWindow="-108" yWindow="-108" windowWidth="23256" windowHeight="13176" firstSheet="19" activeTab="22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Round" sheetId="28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<sst xmlns="http://schemas.openxmlformats.org/spreadsheetml/2006/main" count="65089" uniqueCount="4260">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</sst>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4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4257</v>
      </c>
      <c r="C1" s="2"/>
    </row>
    <row r="2" spans="2:4" x14ac:dyDescent="0.3">
      <c r="B2" s="32" t="s">
        <v>4252</v>
      </c>
      <c r="C2" s="2"/>
    </row>
    <row r="3" spans="2:4" x14ac:dyDescent="0.3">
      <c r="B3" s="32"/>
      <c r="C3" s="2"/>
    </row>
    <row r="4" spans="2:4" ht="15" thickBot="1" x14ac:dyDescent="0.35">
      <c r="B4" s="33" t="s">
        <v>4253</v>
      </c>
      <c r="C4" s="33" t="s">
        <v>4254</v>
      </c>
    </row>
    <row r="5" spans="2:4" x14ac:dyDescent="0.3">
      <c r="B5" s="35">
        <v>1</v>
      </c>
      <c r="C5" s="36" t="s">
        <v>4251</v>
      </c>
    </row>
    <row r="6" spans="2:4" x14ac:dyDescent="0.3">
      <c r="B6" s="35">
        <v>2</v>
      </c>
      <c r="C6" s="36" t="s">
        <v>10</v>
      </c>
      <c r="D6" s="34"/>
    </row>
    <row r="7" spans="2:4" x14ac:dyDescent="0.3">
      <c r="B7" s="35">
        <f>+B6+1</f>
        <v>3</v>
      </c>
      <c r="C7" s="36" t="s">
        <v>31</v>
      </c>
    </row>
    <row r="8" spans="2:4" x14ac:dyDescent="0.3">
      <c r="B8" s="35">
        <f t="shared" ref="B8:B27" si="0">+B7+1</f>
        <v>4</v>
      </c>
      <c r="C8" s="36" t="s">
        <v>32</v>
      </c>
    </row>
    <row r="9" spans="2:4" x14ac:dyDescent="0.3">
      <c r="B9" s="35">
        <f t="shared" si="0"/>
        <v>5</v>
      </c>
      <c r="C9" s="36" t="s">
        <v>11</v>
      </c>
    </row>
    <row r="10" spans="2:4" x14ac:dyDescent="0.3">
      <c r="B10" s="35">
        <f t="shared" si="0"/>
        <v>6</v>
      </c>
      <c r="C10" s="36" t="s">
        <v>33</v>
      </c>
    </row>
    <row r="11" spans="2:4" x14ac:dyDescent="0.3">
      <c r="B11" s="35">
        <f t="shared" si="0"/>
        <v>7</v>
      </c>
      <c r="C11" s="36" t="s">
        <v>34</v>
      </c>
    </row>
    <row r="12" spans="2:4" x14ac:dyDescent="0.3">
      <c r="B12" s="35">
        <f t="shared" si="0"/>
        <v>8</v>
      </c>
      <c r="C12" s="36" t="s">
        <v>1</v>
      </c>
    </row>
    <row r="13" spans="2:4" x14ac:dyDescent="0.3">
      <c r="B13" s="35">
        <f t="shared" si="0"/>
        <v>9</v>
      </c>
      <c r="C13" s="36" t="s">
        <v>2</v>
      </c>
    </row>
    <row r="14" spans="2:4" x14ac:dyDescent="0.3">
      <c r="B14" s="35">
        <f t="shared" si="0"/>
        <v>10</v>
      </c>
      <c r="C14" s="36" t="s">
        <v>35</v>
      </c>
    </row>
    <row r="15" spans="2:4" x14ac:dyDescent="0.3">
      <c r="B15" s="35">
        <f t="shared" si="0"/>
        <v>11</v>
      </c>
      <c r="C15" s="36" t="s">
        <v>36</v>
      </c>
    </row>
    <row r="16" spans="2:4" x14ac:dyDescent="0.3">
      <c r="B16" s="35">
        <f t="shared" si="0"/>
        <v>12</v>
      </c>
      <c r="C16" s="36" t="s">
        <v>37</v>
      </c>
    </row>
    <row r="17" spans="2:4" x14ac:dyDescent="0.3">
      <c r="B17" s="35">
        <f t="shared" si="0"/>
        <v>13</v>
      </c>
      <c r="C17" s="36" t="s">
        <v>3</v>
      </c>
    </row>
    <row r="18" spans="2:4" x14ac:dyDescent="0.3">
      <c r="B18" s="35">
        <f t="shared" si="0"/>
        <v>14</v>
      </c>
      <c r="C18" s="36" t="s">
        <v>5</v>
      </c>
    </row>
    <row r="19" spans="2:4" x14ac:dyDescent="0.3">
      <c r="B19" s="35">
        <f t="shared" si="0"/>
        <v>15</v>
      </c>
      <c r="C19" s="36" t="s">
        <v>4255</v>
      </c>
    </row>
    <row r="20" spans="2:4" x14ac:dyDescent="0.3">
      <c r="B20" s="35">
        <f t="shared" si="0"/>
        <v>16</v>
      </c>
      <c r="C20" s="36" t="s">
        <v>4</v>
      </c>
    </row>
    <row r="21" spans="2:4" x14ac:dyDescent="0.3">
      <c r="B21" s="35">
        <f t="shared" si="0"/>
        <v>17</v>
      </c>
      <c r="C21" s="36" t="s">
        <v>6</v>
      </c>
    </row>
    <row r="22" spans="2:4" x14ac:dyDescent="0.3">
      <c r="B22" s="35">
        <f t="shared" si="0"/>
        <v>18</v>
      </c>
      <c r="C22" s="36" t="s">
        <v>0</v>
      </c>
    </row>
    <row r="23" spans="2:4" x14ac:dyDescent="0.3">
      <c r="B23" s="35">
        <f t="shared" si="0"/>
        <v>19</v>
      </c>
      <c r="C23" s="36" t="s">
        <v>8</v>
      </c>
    </row>
    <row r="24" spans="2:4" x14ac:dyDescent="0.3">
      <c r="B24" s="35">
        <f t="shared" si="0"/>
        <v>20</v>
      </c>
      <c r="C24" s="36" t="s">
        <v>4247</v>
      </c>
    </row>
    <row r="25" spans="2:4" x14ac:dyDescent="0.3">
      <c r="B25" s="35">
        <f t="shared" si="0"/>
        <v>21</v>
      </c>
      <c r="C25" s="36" t="s">
        <v>4256</v>
      </c>
      <c r="D25" s="2"/>
    </row>
    <row r="26" spans="2:4" x14ac:dyDescent="0.3">
      <c r="B26" s="35">
        <f t="shared" si="0"/>
        <v>22</v>
      </c>
      <c r="C26" s="36" t="s">
        <v>7</v>
      </c>
      <c r="D26" s="2"/>
    </row>
    <row r="27" spans="2:4" x14ac:dyDescent="0.3">
      <c r="B27" s="35">
        <f t="shared" si="0"/>
        <v>23</v>
      </c>
      <c r="C27" s="36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4251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7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8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39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6">
        <f>+COUNTA(B4:B12)</f>
        <v>9</v>
      </c>
      <c r="C14" s="22"/>
      <c r="D14" s="22"/>
      <c r="E14" s="46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0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0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4258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1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4258</v>
      </c>
      <c r="K3" s="6" t="s">
        <v>15</v>
      </c>
      <c r="L3" s="6" t="s">
        <v>13</v>
      </c>
    </row>
    <row r="4" spans="2:12" ht="12" x14ac:dyDescent="0.25">
      <c r="B4" s="41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7" t="str">
        <f>+HLOOKUP(H4,$B$3:$F$7,2,FALSE)</f>
        <v>Italy</v>
      </c>
    </row>
    <row r="5" spans="2:12" ht="12" x14ac:dyDescent="0.25">
      <c r="B5" s="41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1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1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2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3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3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3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4259</v>
      </c>
      <c r="H7" s="44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3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3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3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3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3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0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/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5">
        <f>C8</f>
        <v>1610.5100000000004</v>
      </c>
      <c r="D12" s="43">
        <v>0.1</v>
      </c>
      <c r="E12" s="43">
        <v>0.11</v>
      </c>
      <c r="F12" s="43">
        <v>0.12</v>
      </c>
      <c r="G12" s="43">
        <v>0.13</v>
      </c>
    </row>
    <row r="13" spans="2:7" x14ac:dyDescent="0.2">
      <c r="C13" s="27">
        <v>2</v>
      </c>
      <c r="D13" s="45">
        <f t="dataTable" ref="D13:G16" dt2D="1" dtr="1" r1="C4" r2="C6"/>
        <v>1210.0000000000002</v>
      </c>
      <c r="E13" s="45">
        <v>1232.1000000000001</v>
      </c>
      <c r="F13" s="45">
        <v>1254.4000000000001</v>
      </c>
      <c r="G13" s="45">
        <v>1276.8999999999996</v>
      </c>
    </row>
    <row r="14" spans="2:7" x14ac:dyDescent="0.2">
      <c r="C14" s="27">
        <v>3</v>
      </c>
      <c r="D14" s="45">
        <v>1331.0000000000005</v>
      </c>
      <c r="E14" s="45">
        <v>1367.6310000000003</v>
      </c>
      <c r="F14" s="45">
        <v>1404.9280000000003</v>
      </c>
      <c r="G14" s="45">
        <v>1442.8969999999995</v>
      </c>
    </row>
    <row r="15" spans="2:7" x14ac:dyDescent="0.2">
      <c r="C15" s="27">
        <v>4</v>
      </c>
      <c r="D15" s="45">
        <v>1464.1000000000004</v>
      </c>
      <c r="E15" s="45">
        <v>1518.0704100000005</v>
      </c>
      <c r="F15" s="45">
        <v>1573.5193600000005</v>
      </c>
      <c r="G15" s="45">
        <v>1630.4736099999993</v>
      </c>
    </row>
    <row r="16" spans="2:7" x14ac:dyDescent="0.2">
      <c r="C16" s="27">
        <v>5</v>
      </c>
      <c r="D16" s="45">
        <v>1610.5100000000004</v>
      </c>
      <c r="E16" s="45">
        <v>1685.0581551000005</v>
      </c>
      <c r="F16" s="45">
        <v>1762.3416832000005</v>
      </c>
      <c r="G16" s="45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abSelected="1"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2019-04-12T10:45:20Z</dcterms:modified>
</cp:coreProperties>
</file>